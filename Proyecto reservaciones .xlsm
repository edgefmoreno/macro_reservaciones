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ge\Desktop\"/>
    </mc:Choice>
  </mc:AlternateContent>
  <bookViews>
    <workbookView xWindow="0" yWindow="0" windowWidth="21600" windowHeight="9735" tabRatio="775" activeTab="6"/>
  </bookViews>
  <sheets>
    <sheet name="Hoja1" sheetId="1" r:id="rId1"/>
    <sheet name="Usuarios" sheetId="2" r:id="rId2"/>
    <sheet name="Aulas" sheetId="3" r:id="rId3"/>
    <sheet name="Reservaciones" sheetId="4" r:id="rId4"/>
    <sheet name="Solicitantes" sheetId="6" r:id="rId5"/>
    <sheet name="Formulas" sheetId="5" r:id="rId6"/>
    <sheet name="Consultas" sheetId="8" r:id="rId7"/>
  </sheets>
  <definedNames>
    <definedName name="_xlnm._FilterDatabase" localSheetId="3" hidden="1">Reservaciones!$A$1:$M$10</definedName>
    <definedName name="DataAulas">Aulas!$A$2:$B$6</definedName>
    <definedName name="DATAAUX">Formulas!$A$4</definedName>
    <definedName name="DataDiaSala">Reservaciones!$A$2:$A$9</definedName>
    <definedName name="DataHorasFinales">Reservaciones!$K$1:$K$9</definedName>
    <definedName name="DataHorasIniciales">Reservaciones!$J$1:$J$9</definedName>
    <definedName name="DataReservaciones">Reservaciones!$A$2:$M$9</definedName>
    <definedName name="DataSolicitantes">Solicitantes!$A$2:$D$4</definedName>
    <definedName name="DataSTATUS">Reservaciones!$H$1:$H$9</definedName>
    <definedName name="DataUsuarios">Usuarios!$A$2:$J$10</definedName>
    <definedName name="Ust">Formulas!$C$1:$C$3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B4" i="5"/>
  <c r="B3" i="5"/>
  <c r="A3" i="5"/>
  <c r="A2" i="5"/>
  <c r="A3" i="4" l="1" a="1"/>
  <c r="A3" i="4" s="1"/>
  <c r="A4" i="4" a="1"/>
  <c r="A4" i="4" s="1"/>
  <c r="A5" i="4" a="1"/>
  <c r="A5" i="4" s="1"/>
  <c r="A6" i="4" a="1"/>
  <c r="A6" i="4"/>
  <c r="A7" i="4" a="1"/>
  <c r="A7" i="4" s="1"/>
  <c r="A8" i="4" a="1"/>
  <c r="A8" i="4"/>
  <c r="A2" i="4" a="1"/>
  <c r="A2" i="4" s="1"/>
  <c r="C11" i="8" l="1"/>
  <c r="C12" i="8"/>
  <c r="C13" i="8"/>
  <c r="C14" i="8"/>
  <c r="C15" i="8"/>
  <c r="C16" i="8"/>
  <c r="C17" i="8"/>
  <c r="D1" i="8" l="1"/>
  <c r="C1" i="8"/>
  <c r="A8" i="5" l="1"/>
  <c r="A7" i="5"/>
  <c r="B5" i="5"/>
  <c r="F3" i="5" l="1"/>
  <c r="G7" i="5" l="1"/>
  <c r="G9" i="5" s="1"/>
  <c r="F7" i="5"/>
  <c r="F9" i="5" s="1"/>
  <c r="A4" i="5" s="1"/>
  <c r="B2" i="8" l="1" a="1"/>
  <c r="A2" i="8" a="1"/>
  <c r="E2" i="8" a="1"/>
  <c r="E2" i="8" s="1"/>
  <c r="F8" i="5"/>
  <c r="B8" i="8" l="1"/>
  <c r="C8" i="8" s="1"/>
  <c r="B7" i="8"/>
  <c r="C7" i="8" s="1"/>
  <c r="B3" i="8"/>
  <c r="B5" i="8"/>
  <c r="B9" i="8"/>
  <c r="C9" i="8" s="1"/>
  <c r="B10" i="8"/>
  <c r="C10" i="8" s="1"/>
  <c r="B2" i="8"/>
  <c r="C2" i="8" s="1"/>
  <c r="B4" i="8"/>
  <c r="B6" i="8"/>
  <c r="C6" i="8" s="1"/>
  <c r="A7" i="8"/>
  <c r="A10" i="8"/>
  <c r="G10" i="8" s="1"/>
  <c r="A2" i="8"/>
  <c r="A6" i="8"/>
  <c r="A9" i="8"/>
  <c r="A5" i="8"/>
  <c r="A4" i="8"/>
  <c r="A3" i="8"/>
  <c r="A8" i="8"/>
  <c r="C5" i="8"/>
  <c r="G9" i="8" l="1"/>
  <c r="C3" i="8"/>
  <c r="C4" i="8"/>
  <c r="B1" i="8" l="1"/>
</calcChain>
</file>

<file path=xl/comments1.xml><?xml version="1.0" encoding="utf-8"?>
<comments xmlns="http://schemas.openxmlformats.org/spreadsheetml/2006/main">
  <authors>
    <author>Edgar Moreno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Tipo A
Solo disponible de Lunes a Viernes
Tipo B 
disponible para Sabados o domingos
se pueden agregar mas tipos para 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para saber si esta disponible o se encuentra en remodelacion 
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quien dio de alta la sala
solo admins pueden dar altas
</t>
        </r>
      </text>
    </comment>
  </commentList>
</comments>
</file>

<file path=xl/comments2.xml><?xml version="1.0" encoding="utf-8"?>
<comments xmlns="http://schemas.openxmlformats.org/spreadsheetml/2006/main">
  <authors>
    <author>Edgar Moreno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0-&gt; falta oficcio
1-&gt; completada
2-&gt; cancelada
</t>
        </r>
      </text>
    </comment>
  </commentList>
</comments>
</file>

<file path=xl/comments3.xml><?xml version="1.0" encoding="utf-8"?>
<comments xmlns="http://schemas.openxmlformats.org/spreadsheetml/2006/main">
  <authors>
    <author>Edgar Moreno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usuario activo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hora inicio
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pass usuario activo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hora final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tipo de usuario
</t>
        </r>
      </text>
    </comment>
    <comment ref="B3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nombre del usuario en uso
</t>
        </r>
      </text>
    </comment>
    <comment ref="B4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Apellido del usuario
</t>
        </r>
      </text>
    </comment>
    <comment ref="C4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rango de solicitantes
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Aula
</t>
        </r>
      </text>
    </comment>
    <comment ref="B5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capacidad de la sala
</t>
        </r>
      </text>
    </comment>
    <comment ref="C5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Rango aulas
</t>
        </r>
      </text>
    </comment>
    <comment ref="A6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nombre del Solicitante</t>
        </r>
      </text>
    </comment>
    <comment ref="C6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rango  aux 
consultas
</t>
        </r>
      </text>
    </comment>
    <comment ref="A7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Area solicitante
</t>
        </r>
      </text>
    </comment>
    <comment ref="C7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rango hora inicial consultas
</t>
        </r>
      </text>
    </comment>
    <comment ref="A8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cubiculo solicitante
</t>
        </r>
      </text>
    </comment>
    <comment ref="C8" authorId="0" shapeId="0">
      <text>
        <r>
          <rPr>
            <b/>
            <sz val="9"/>
            <color indexed="81"/>
            <rFont val="Tahoma"/>
            <charset val="1"/>
          </rPr>
          <t>Edgar Moreno:</t>
        </r>
        <r>
          <rPr>
            <sz val="9"/>
            <color indexed="81"/>
            <rFont val="Tahoma"/>
            <charset val="1"/>
          </rPr>
          <t xml:space="preserve">
Rango hora final 
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Fecha inicio
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Edgar Moreno:</t>
        </r>
        <r>
          <rPr>
            <sz val="9"/>
            <color indexed="81"/>
            <rFont val="Tahoma"/>
            <family val="2"/>
          </rPr>
          <t xml:space="preserve">
fecha fin
</t>
        </r>
      </text>
    </comment>
  </commentList>
</comments>
</file>

<file path=xl/sharedStrings.xml><?xml version="1.0" encoding="utf-8"?>
<sst xmlns="http://schemas.openxmlformats.org/spreadsheetml/2006/main" count="198" uniqueCount="117">
  <si>
    <t>US1</t>
  </si>
  <si>
    <t>US2</t>
  </si>
  <si>
    <t>US3</t>
  </si>
  <si>
    <t>US4</t>
  </si>
  <si>
    <t>US5</t>
  </si>
  <si>
    <t>US6</t>
  </si>
  <si>
    <t>US7</t>
  </si>
  <si>
    <t>US8</t>
  </si>
  <si>
    <t>US9</t>
  </si>
  <si>
    <t>Usuarios</t>
  </si>
  <si>
    <t>Contraseñas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</si>
  <si>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</si>
  <si>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</si>
  <si>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</si>
  <si>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</si>
  <si>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</si>
  <si>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</si>
  <si>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</si>
  <si>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</si>
  <si>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</si>
  <si>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Tipo de usuario</t>
  </si>
  <si>
    <t>Admin</t>
  </si>
  <si>
    <t>Registros</t>
  </si>
  <si>
    <t>Observador</t>
  </si>
  <si>
    <t>Nombre</t>
  </si>
  <si>
    <t>Matricula</t>
  </si>
  <si>
    <t>Status</t>
  </si>
  <si>
    <t xml:space="preserve"> JOSE JUAN</t>
  </si>
  <si>
    <t>CASTRO TORRES</t>
  </si>
  <si>
    <t>Apellidos</t>
  </si>
  <si>
    <t>JUAN PABLO</t>
  </si>
  <si>
    <t xml:space="preserve">FUENTES PEÑA </t>
  </si>
  <si>
    <t xml:space="preserve">GARCIA HERNANDEZ </t>
  </si>
  <si>
    <t>ALFONSO</t>
  </si>
  <si>
    <t xml:space="preserve">GARCIA PIÑA </t>
  </si>
  <si>
    <t>JESUS ALEXIS</t>
  </si>
  <si>
    <t xml:space="preserve">GARCIA SERRANO </t>
  </si>
  <si>
    <t>MARIO ENRIQUE</t>
  </si>
  <si>
    <t xml:space="preserve">JACOBO LARA </t>
  </si>
  <si>
    <t>GREGORIA</t>
  </si>
  <si>
    <t xml:space="preserve">LUNA GARCIA </t>
  </si>
  <si>
    <t>NAYELI</t>
  </si>
  <si>
    <t xml:space="preserve">MARTINEZ FERRUZCA </t>
  </si>
  <si>
    <t>JEAN CARLO</t>
  </si>
  <si>
    <t>EDGAR FRANCISCO</t>
  </si>
  <si>
    <t>MORENO PALOMINO</t>
  </si>
  <si>
    <t xml:space="preserve">Correo </t>
  </si>
  <si>
    <t>jjuan.castro@mail.coim</t>
  </si>
  <si>
    <t>edge.f.moreno@mail.com</t>
  </si>
  <si>
    <t>jpablo.fuentes@mail.com</t>
  </si>
  <si>
    <t>jalexis.garcia@mail.com</t>
  </si>
  <si>
    <t>alfonso.gracia@mail.com</t>
  </si>
  <si>
    <t>gregoria.jacobo@mail.com</t>
  </si>
  <si>
    <t>menrique.garcia@mail.com</t>
  </si>
  <si>
    <t>nayeli.luna@mail.com</t>
  </si>
  <si>
    <t>jcarlo.martinez@mail.com</t>
  </si>
  <si>
    <t>Sala</t>
  </si>
  <si>
    <t>Capacidad</t>
  </si>
  <si>
    <t>Seminario 1</t>
  </si>
  <si>
    <t>Seminario 2</t>
  </si>
  <si>
    <t>Seminario 3</t>
  </si>
  <si>
    <t>Audio Visual</t>
  </si>
  <si>
    <t>Tipo</t>
  </si>
  <si>
    <t>Fecha de registro</t>
  </si>
  <si>
    <t>Solicitante</t>
  </si>
  <si>
    <t>Area</t>
  </si>
  <si>
    <t>Cubiculo</t>
  </si>
  <si>
    <t>Actividad</t>
  </si>
  <si>
    <t>Registro</t>
  </si>
  <si>
    <t>Folio</t>
  </si>
  <si>
    <t>Alta</t>
  </si>
  <si>
    <t>fecha de alta</t>
  </si>
  <si>
    <t>Formulas</t>
  </si>
  <si>
    <t>CBI</t>
  </si>
  <si>
    <t>coloquio</t>
  </si>
  <si>
    <t>Jose Luis Quiroz</t>
  </si>
  <si>
    <t>Alejandro Molina</t>
  </si>
  <si>
    <t>Humberto Cervantes</t>
  </si>
  <si>
    <t>Examen</t>
  </si>
  <si>
    <t>Presentacion</t>
  </si>
  <si>
    <t>Modificado Por</t>
  </si>
  <si>
    <t>Quetzalcalli</t>
  </si>
  <si>
    <t>Us2</t>
  </si>
  <si>
    <t>fecha de registro</t>
  </si>
  <si>
    <t>Día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</si>
  <si>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</si>
  <si>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</si>
  <si>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</si>
  <si>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</si>
  <si>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</si>
  <si>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</si>
  <si>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</si>
  <si>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</si>
  <si>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</si>
  <si>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</si>
  <si>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</si>
  <si>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</si>
  <si>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Meses</t>
  </si>
  <si>
    <t>Horarios</t>
  </si>
  <si>
    <t xml:space="preserve">Inicio </t>
  </si>
  <si>
    <t>Fin</t>
  </si>
  <si>
    <t>12122016S2LM1314</t>
  </si>
  <si>
    <t>AUX</t>
  </si>
  <si>
    <t>registro</t>
  </si>
  <si>
    <t>Us3</t>
  </si>
  <si>
    <t>12122016S2LM1315</t>
  </si>
  <si>
    <t>12122016S2LM1316</t>
  </si>
  <si>
    <t>$A$2:$A$6</t>
  </si>
  <si>
    <t>$A$2:$A$4</t>
  </si>
  <si>
    <t>XXXXXXXX</t>
  </si>
  <si>
    <t>eeeeee</t>
  </si>
  <si>
    <t>STATUS</t>
  </si>
  <si>
    <t>DataSTATUS</t>
  </si>
  <si>
    <t>$A$2:$A$9</t>
  </si>
  <si>
    <t>$J$1:$J$9</t>
  </si>
  <si>
    <t>$K$1:$K$9</t>
  </si>
  <si>
    <t>$H$1:$H$9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</si>
</sst>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"/>
    <numFmt numFmtId="165" formatCode="[$-F800]dddd\,\ mmmm\ dd\,\ yyyy"/>
    <numFmt numFmtId="166" formatCode="0.000000000000000000000000000000"/>
    <numFmt numFmtId="167" formatCode="hh:mm:ss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6" fillId="0" borderId="0" xfId="0" applyFont="1" applyFill="1"/>
    <xf numFmtId="0" fontId="7" fillId="0" borderId="0" xfId="0" applyFont="1" applyFill="1"/>
    <xf numFmtId="0" fontId="8" fillId="0" borderId="0" xfId="1" applyFont="1" applyFill="1"/>
    <xf numFmtId="20" fontId="0" fillId="0" borderId="0" xfId="0" applyNumberFormat="1"/>
    <xf numFmtId="20" fontId="0" fillId="2" borderId="0" xfId="0" applyNumberFormat="1" applyFill="1"/>
    <xf numFmtId="0" fontId="7" fillId="3" borderId="0" xfId="0" applyFont="1" applyFill="1"/>
    <xf numFmtId="0" fontId="7" fillId="4" borderId="0" xfId="0" applyFont="1" applyFill="1"/>
    <xf numFmtId="0" fontId="0" fillId="4" borderId="0" xfId="0" applyFill="1"/>
    <xf numFmtId="0" fontId="7" fillId="5" borderId="0" xfId="0" applyNumberFormat="1" applyFont="1" applyFill="1"/>
    <xf numFmtId="20" fontId="7" fillId="5" borderId="0" xfId="0" applyNumberFormat="1" applyFont="1" applyFill="1"/>
    <xf numFmtId="165" fontId="7" fillId="5" borderId="0" xfId="0" applyNumberFormat="1" applyFont="1" applyFill="1"/>
    <xf numFmtId="0" fontId="0" fillId="5" borderId="0" xfId="0" applyFill="1"/>
    <xf numFmtId="165" fontId="0" fillId="5" borderId="0" xfId="0" applyNumberFormat="1" applyFill="1"/>
    <xf numFmtId="164" fontId="0" fillId="5" borderId="0" xfId="0" applyNumberFormat="1" applyFill="1"/>
    <xf numFmtId="0" fontId="7" fillId="5" borderId="0" xfId="0" applyFont="1" applyFill="1"/>
    <xf numFmtId="14" fontId="0" fillId="5" borderId="0" xfId="0" applyNumberFormat="1" applyFill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2" borderId="0" xfId="0" applyFont="1" applyFill="1"/>
    <xf numFmtId="166" fontId="0" fillId="0" borderId="0" xfId="0" applyNumberFormat="1"/>
    <xf numFmtId="167" fontId="0" fillId="0" borderId="0" xfId="0" applyNumberFormat="1"/>
    <xf numFmtId="167" fontId="0" fillId="4" borderId="0" xfId="0" applyNumberForma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ayeli.luna@mail.com" TargetMode="External"/><Relationship Id="rId3" Type="http://schemas.openxmlformats.org/officeDocument/2006/relationships/hyperlink" Target="mailto:jpablo.fuentes@mail.com" TargetMode="External"/><Relationship Id="rId7" Type="http://schemas.openxmlformats.org/officeDocument/2006/relationships/hyperlink" Target="mailto:gregoria.jacobo@mail.com" TargetMode="External"/><Relationship Id="rId2" Type="http://schemas.openxmlformats.org/officeDocument/2006/relationships/hyperlink" Target="mailto:edge.f.moreno@mail.com" TargetMode="External"/><Relationship Id="rId1" Type="http://schemas.openxmlformats.org/officeDocument/2006/relationships/hyperlink" Target="mailto:jjuan.castro@mail.coim" TargetMode="External"/><Relationship Id="rId6" Type="http://schemas.openxmlformats.org/officeDocument/2006/relationships/hyperlink" Target="mailto:menrique.garcia@mail.com" TargetMode="External"/><Relationship Id="rId5" Type="http://schemas.openxmlformats.org/officeDocument/2006/relationships/hyperlink" Target="mailto:alfonso.gracia@mail.co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jalexis.garcia@mail.com" TargetMode="External"/><Relationship Id="rId9" Type="http://schemas.openxmlformats.org/officeDocument/2006/relationships/hyperlink" Target="mailto:jcarlo.martinez@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H7"/>
  <sheetViews>
    <sheetView workbookViewId="0">
      <selection activeCell="E8" sqref="E8"/>
    </sheetView>
  </sheetViews>
  <sheetFormatPr baseColWidth="10" defaultRowHeight="15" x14ac:dyDescent="0.25"/>
  <cols>
    <col min="6" max="6" width="11.85546875" bestFit="1" customWidth="1"/>
  </cols>
  <sheetData>
    <row r="7" spans="8:8" x14ac:dyDescent="0.25">
      <c r="H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40"/>
  <sheetViews>
    <sheetView workbookViewId="0">
      <selection activeCell="A2" sqref="A2:J10"/>
    </sheetView>
  </sheetViews>
  <sheetFormatPr baseColWidth="10" defaultRowHeight="15" x14ac:dyDescent="0.25"/>
  <cols>
    <col min="1" max="1" width="8.5703125" bestFit="1" customWidth="1"/>
    <col min="2" max="2" width="11.85546875" bestFit="1" customWidth="1"/>
    <col min="3" max="3" width="14.5703125" bestFit="1" customWidth="1"/>
    <col min="4" max="4" width="17.7109375" bestFit="1" customWidth="1"/>
    <col min="5" max="5" width="20.140625" bestFit="1" customWidth="1"/>
    <col min="6" max="6" width="11" bestFit="1" customWidth="1"/>
    <col min="7" max="7" width="25.7109375" bestFit="1" customWidth="1"/>
    <col min="8" max="8" width="11.85546875" bestFit="1" customWidth="1"/>
    <col min="9" max="9" width="14.42578125" bestFit="1" customWidth="1"/>
    <col min="10" max="10" width="15.85546875" bestFit="1" customWidth="1"/>
  </cols>
  <sheetData>
    <row r="1" spans="1:10" x14ac:dyDescent="0.25">
      <c r="A1" t="s">
        <v>9</v>
      </c>
      <c r="B1" t="s">
        <v>10</v>
      </c>
      <c r="C1" t="s">
        <v>20</v>
      </c>
      <c r="D1" t="s">
        <v>24</v>
      </c>
      <c r="E1" t="s">
        <v>29</v>
      </c>
      <c r="F1" t="s">
        <v>25</v>
      </c>
      <c r="G1" t="s">
        <v>46</v>
      </c>
      <c r="H1" t="s">
        <v>26</v>
      </c>
      <c r="I1" t="s">
        <v>80</v>
      </c>
      <c r="J1" t="s">
        <v>83</v>
      </c>
    </row>
    <row r="2" spans="1:10" x14ac:dyDescent="0.25">
      <c r="A2" s="3" t="s">
        <v>0</v>
      </c>
      <c r="B2" s="3" t="s">
        <v>11</v>
      </c>
      <c r="C2" s="3" t="s">
        <v>22</v>
      </c>
      <c r="D2" s="3" t="s">
        <v>27</v>
      </c>
      <c r="E2" s="3" t="s">
        <v>28</v>
      </c>
      <c r="F2" s="3">
        <v>2113010818</v>
      </c>
      <c r="G2" s="4" t="s">
        <v>47</v>
      </c>
      <c r="H2" s="3" t="b">
        <v>0</v>
      </c>
      <c r="I2" s="3" t="s">
        <v>82</v>
      </c>
      <c r="J2" s="1">
        <v>42712</v>
      </c>
    </row>
    <row r="3" spans="1:10" x14ac:dyDescent="0.25">
      <c r="A3" s="3" t="s">
        <v>1</v>
      </c>
      <c r="B3" s="3" t="s">
        <v>12</v>
      </c>
      <c r="C3" s="3" t="s">
        <v>21</v>
      </c>
      <c r="D3" s="3" t="s">
        <v>44</v>
      </c>
      <c r="E3" s="3" t="s">
        <v>45</v>
      </c>
      <c r="F3" s="3">
        <v>209217347</v>
      </c>
      <c r="G3" s="4" t="s">
        <v>48</v>
      </c>
      <c r="H3" s="3" t="b">
        <v>1</v>
      </c>
      <c r="I3" s="3" t="s">
        <v>82</v>
      </c>
      <c r="J3" s="1">
        <v>42712</v>
      </c>
    </row>
    <row r="4" spans="1:10" x14ac:dyDescent="0.25">
      <c r="A4" s="3" t="s">
        <v>2</v>
      </c>
      <c r="B4" s="3" t="s">
        <v>13</v>
      </c>
      <c r="C4" s="3" t="s">
        <v>22</v>
      </c>
      <c r="D4" s="3" t="s">
        <v>30</v>
      </c>
      <c r="E4" s="3" t="s">
        <v>31</v>
      </c>
      <c r="F4" s="3">
        <v>2112019246</v>
      </c>
      <c r="G4" s="4" t="s">
        <v>49</v>
      </c>
      <c r="H4" s="3" t="b">
        <v>1</v>
      </c>
      <c r="I4" s="3" t="s">
        <v>82</v>
      </c>
      <c r="J4" s="1">
        <v>42712</v>
      </c>
    </row>
    <row r="5" spans="1:10" x14ac:dyDescent="0.25">
      <c r="A5" s="3" t="s">
        <v>3</v>
      </c>
      <c r="B5" s="3" t="s">
        <v>14</v>
      </c>
      <c r="C5" s="3" t="s">
        <v>21</v>
      </c>
      <c r="D5" s="3" t="s">
        <v>35</v>
      </c>
      <c r="E5" s="3" t="s">
        <v>34</v>
      </c>
      <c r="F5" s="3">
        <v>2122016775</v>
      </c>
      <c r="G5" s="4" t="s">
        <v>50</v>
      </c>
      <c r="H5" s="3" t="b">
        <v>0</v>
      </c>
      <c r="I5" s="3" t="s">
        <v>82</v>
      </c>
      <c r="J5" s="1">
        <v>42712</v>
      </c>
    </row>
    <row r="6" spans="1:10" x14ac:dyDescent="0.25">
      <c r="A6" s="3" t="s">
        <v>4</v>
      </c>
      <c r="B6" s="3" t="s">
        <v>15</v>
      </c>
      <c r="C6" s="3" t="s">
        <v>22</v>
      </c>
      <c r="D6" s="3" t="s">
        <v>33</v>
      </c>
      <c r="E6" s="3" t="s">
        <v>32</v>
      </c>
      <c r="F6" s="3">
        <v>207215234</v>
      </c>
      <c r="G6" s="4" t="s">
        <v>51</v>
      </c>
      <c r="H6" s="3" t="b">
        <v>0</v>
      </c>
      <c r="I6" s="3" t="s">
        <v>82</v>
      </c>
      <c r="J6" s="1">
        <v>42712</v>
      </c>
    </row>
    <row r="7" spans="1:10" x14ac:dyDescent="0.25">
      <c r="A7" s="3" t="s">
        <v>5</v>
      </c>
      <c r="B7" s="3" t="s">
        <v>16</v>
      </c>
      <c r="C7" s="3" t="s">
        <v>23</v>
      </c>
      <c r="D7" s="3" t="s">
        <v>37</v>
      </c>
      <c r="E7" s="3" t="s">
        <v>36</v>
      </c>
      <c r="F7" s="3">
        <v>2132018398</v>
      </c>
      <c r="G7" s="4" t="s">
        <v>53</v>
      </c>
      <c r="H7" s="3" t="b">
        <v>0</v>
      </c>
      <c r="I7" s="3" t="s">
        <v>82</v>
      </c>
      <c r="J7" s="1">
        <v>42712</v>
      </c>
    </row>
    <row r="8" spans="1:10" x14ac:dyDescent="0.25">
      <c r="A8" s="3" t="s">
        <v>6</v>
      </c>
      <c r="B8" s="3" t="s">
        <v>17</v>
      </c>
      <c r="C8" s="3" t="s">
        <v>21</v>
      </c>
      <c r="D8" s="3" t="s">
        <v>39</v>
      </c>
      <c r="E8" s="3" t="s">
        <v>38</v>
      </c>
      <c r="F8" s="3">
        <v>210309084</v>
      </c>
      <c r="G8" s="4" t="s">
        <v>52</v>
      </c>
      <c r="H8" s="3" t="b">
        <v>1</v>
      </c>
      <c r="I8" s="3" t="s">
        <v>82</v>
      </c>
      <c r="J8" s="1">
        <v>42712</v>
      </c>
    </row>
    <row r="9" spans="1:10" x14ac:dyDescent="0.25">
      <c r="A9" s="3" t="s">
        <v>7</v>
      </c>
      <c r="B9" s="3" t="s">
        <v>18</v>
      </c>
      <c r="C9" s="3" t="s">
        <v>23</v>
      </c>
      <c r="D9" s="3" t="s">
        <v>41</v>
      </c>
      <c r="E9" s="3" t="s">
        <v>40</v>
      </c>
      <c r="F9" s="3">
        <v>2132019108</v>
      </c>
      <c r="G9" s="4" t="s">
        <v>54</v>
      </c>
      <c r="H9" s="3" t="b">
        <v>1</v>
      </c>
      <c r="I9" s="3" t="s">
        <v>82</v>
      </c>
      <c r="J9" s="1">
        <v>42712</v>
      </c>
    </row>
    <row r="10" spans="1:10" x14ac:dyDescent="0.25">
      <c r="A10" s="3" t="s">
        <v>8</v>
      </c>
      <c r="B10" s="3" t="s">
        <v>19</v>
      </c>
      <c r="C10" s="3" t="s">
        <v>22</v>
      </c>
      <c r="D10" s="3" t="s">
        <v>43</v>
      </c>
      <c r="E10" s="3" t="s">
        <v>42</v>
      </c>
      <c r="F10" s="3">
        <v>2113041859</v>
      </c>
      <c r="G10" s="4" t="s">
        <v>55</v>
      </c>
      <c r="H10" s="3" t="b">
        <v>0</v>
      </c>
      <c r="I10" s="3" t="s">
        <v>82</v>
      </c>
      <c r="J10" s="1">
        <v>42712</v>
      </c>
    </row>
    <row r="11" spans="1:10" x14ac:dyDescent="0.25">
      <c r="A11" s="3"/>
      <c r="B11" s="3"/>
      <c r="C11" s="3"/>
      <c r="D11" s="3"/>
      <c r="E11" s="3"/>
      <c r="F11" s="3"/>
      <c r="G11" s="4"/>
      <c r="H11" s="3"/>
      <c r="I11" s="3"/>
      <c r="J11" s="1"/>
    </row>
    <row r="12" spans="1:10" x14ac:dyDescent="0.25">
      <c r="A12" s="3"/>
      <c r="B12" s="3"/>
      <c r="C12" s="3"/>
      <c r="D12" s="3"/>
      <c r="E12" s="3"/>
      <c r="F12" s="3"/>
      <c r="G12" s="4"/>
      <c r="H12" s="3"/>
      <c r="I12" s="3"/>
      <c r="J12" s="1"/>
    </row>
    <row r="13" spans="1:10" x14ac:dyDescent="0.25">
      <c r="A13" s="3"/>
      <c r="B13" s="3"/>
      <c r="C13" s="3"/>
      <c r="D13" s="3"/>
      <c r="E13" s="3"/>
      <c r="F13" s="3"/>
      <c r="G13" s="3"/>
      <c r="H13" s="3"/>
      <c r="I13" s="3"/>
      <c r="J13" s="1"/>
    </row>
    <row r="14" spans="1:10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10" x14ac:dyDescent="0.25">
      <c r="A15" s="3"/>
      <c r="B15" s="3"/>
      <c r="C15" s="3"/>
      <c r="D15" s="3"/>
      <c r="E15" s="3"/>
      <c r="F15" s="3"/>
      <c r="G15" s="3"/>
      <c r="H15" s="3"/>
      <c r="I15" s="3"/>
    </row>
    <row r="16" spans="1:10" x14ac:dyDescent="0.25">
      <c r="A16" s="3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3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3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3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3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3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3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3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3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3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3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3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3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</sheetData>
  <hyperlinks>
    <hyperlink ref="G2" r:id="rId1"/>
    <hyperlink ref="G3" r:id="rId2"/>
    <hyperlink ref="G4" r:id="rId3"/>
    <hyperlink ref="G5" r:id="rId4"/>
    <hyperlink ref="G6" r:id="rId5"/>
    <hyperlink ref="G7" r:id="rId6"/>
    <hyperlink ref="G8" r:id="rId7"/>
    <hyperlink ref="G9" r:id="rId8"/>
    <hyperlink ref="G10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27"/>
  <sheetViews>
    <sheetView workbookViewId="0">
      <selection activeCell="A2" sqref="A2:A6"/>
    </sheetView>
  </sheetViews>
  <sheetFormatPr baseColWidth="10" defaultRowHeight="15" x14ac:dyDescent="0.25"/>
  <cols>
    <col min="1" max="1" width="12.140625" bestFit="1" customWidth="1"/>
    <col min="5" max="5" width="11.85546875" bestFit="1" customWidth="1"/>
    <col min="6" max="6" width="11.140625" customWidth="1"/>
    <col min="7" max="7" width="14.5703125" customWidth="1"/>
  </cols>
  <sheetData>
    <row r="1" spans="1:7" x14ac:dyDescent="0.25">
      <c r="A1" t="s">
        <v>56</v>
      </c>
      <c r="B1" t="s">
        <v>57</v>
      </c>
      <c r="C1" t="s">
        <v>62</v>
      </c>
      <c r="E1" t="s">
        <v>26</v>
      </c>
      <c r="F1" t="s">
        <v>70</v>
      </c>
      <c r="G1" t="s">
        <v>71</v>
      </c>
    </row>
    <row r="2" spans="1:7" x14ac:dyDescent="0.25">
      <c r="A2" t="s">
        <v>58</v>
      </c>
      <c r="B2">
        <v>33</v>
      </c>
      <c r="E2" t="b">
        <v>1</v>
      </c>
      <c r="F2" t="s">
        <v>82</v>
      </c>
      <c r="G2" s="1">
        <v>42706</v>
      </c>
    </row>
    <row r="3" spans="1:7" x14ac:dyDescent="0.25">
      <c r="A3" t="s">
        <v>59</v>
      </c>
      <c r="B3">
        <v>24</v>
      </c>
      <c r="E3" t="b">
        <v>1</v>
      </c>
      <c r="F3" t="s">
        <v>82</v>
      </c>
      <c r="G3" s="1">
        <v>42706</v>
      </c>
    </row>
    <row r="4" spans="1:7" x14ac:dyDescent="0.25">
      <c r="A4" t="s">
        <v>60</v>
      </c>
      <c r="B4">
        <v>40</v>
      </c>
      <c r="E4" t="b">
        <v>0</v>
      </c>
      <c r="F4" t="s">
        <v>82</v>
      </c>
      <c r="G4" s="1">
        <v>42706</v>
      </c>
    </row>
    <row r="5" spans="1:7" x14ac:dyDescent="0.25">
      <c r="A5" t="s">
        <v>61</v>
      </c>
      <c r="B5">
        <v>200</v>
      </c>
      <c r="E5" t="b">
        <v>1</v>
      </c>
      <c r="F5" t="s">
        <v>82</v>
      </c>
      <c r="G5" s="1">
        <v>42705</v>
      </c>
    </row>
    <row r="6" spans="1:7" x14ac:dyDescent="0.25">
      <c r="A6" t="s">
        <v>81</v>
      </c>
      <c r="B6">
        <v>200</v>
      </c>
      <c r="E6" t="b">
        <v>1</v>
      </c>
      <c r="F6" t="s">
        <v>82</v>
      </c>
      <c r="G6" s="1">
        <v>42706</v>
      </c>
    </row>
    <row r="7" spans="1:7" x14ac:dyDescent="0.25">
      <c r="G7" s="1"/>
    </row>
    <row r="8" spans="1:7" x14ac:dyDescent="0.25">
      <c r="G8" s="1"/>
    </row>
    <row r="9" spans="1:7" x14ac:dyDescent="0.25">
      <c r="G9" s="1"/>
    </row>
    <row r="10" spans="1:7" x14ac:dyDescent="0.25">
      <c r="G10" s="1"/>
    </row>
    <row r="11" spans="1:7" x14ac:dyDescent="0.25">
      <c r="G11" s="1"/>
    </row>
    <row r="12" spans="1:7" x14ac:dyDescent="0.25">
      <c r="G12" s="1"/>
    </row>
    <row r="13" spans="1:7" x14ac:dyDescent="0.25">
      <c r="G13" s="1"/>
    </row>
    <row r="14" spans="1:7" x14ac:dyDescent="0.25">
      <c r="G14" s="1"/>
    </row>
    <row r="15" spans="1:7" x14ac:dyDescent="0.25">
      <c r="G15" s="1"/>
    </row>
    <row r="16" spans="1:7" x14ac:dyDescent="0.25">
      <c r="G16" s="1"/>
    </row>
    <row r="17" spans="7:7" x14ac:dyDescent="0.25">
      <c r="G17" s="1"/>
    </row>
    <row r="18" spans="7:7" x14ac:dyDescent="0.25">
      <c r="G18" s="1"/>
    </row>
    <row r="19" spans="7:7" x14ac:dyDescent="0.25">
      <c r="G19" s="1"/>
    </row>
    <row r="20" spans="7:7" x14ac:dyDescent="0.25">
      <c r="G20" s="1"/>
    </row>
    <row r="21" spans="7:7" x14ac:dyDescent="0.25">
      <c r="G21" s="1"/>
    </row>
    <row r="22" spans="7:7" x14ac:dyDescent="0.25">
      <c r="G22" s="1"/>
    </row>
    <row r="23" spans="7:7" x14ac:dyDescent="0.25">
      <c r="G23" s="1"/>
    </row>
    <row r="24" spans="7:7" x14ac:dyDescent="0.25">
      <c r="G24" s="1"/>
    </row>
    <row r="25" spans="7:7" x14ac:dyDescent="0.25">
      <c r="G25" s="1"/>
    </row>
    <row r="26" spans="7:7" x14ac:dyDescent="0.25">
      <c r="G26" s="1"/>
    </row>
    <row r="27" spans="7:7" x14ac:dyDescent="0.25">
      <c r="G27" s="1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M7485"/>
  <sheetViews>
    <sheetView topLeftCell="F1" workbookViewId="0">
      <selection activeCell="H1" sqref="H1:H9"/>
    </sheetView>
  </sheetViews>
  <sheetFormatPr baseColWidth="10" defaultRowHeight="15" x14ac:dyDescent="0.25"/>
  <cols>
    <col min="1" max="1" width="21.42578125" customWidth="1"/>
    <col min="2" max="2" width="41.7109375" customWidth="1"/>
    <col min="5" max="5" width="33" customWidth="1"/>
    <col min="7" max="7" width="17.7109375" bestFit="1" customWidth="1"/>
    <col min="9" max="9" width="17.42578125" bestFit="1" customWidth="1"/>
    <col min="10" max="10" width="12.85546875" style="23" bestFit="1" customWidth="1"/>
    <col min="11" max="11" width="11.42578125" style="23"/>
    <col min="12" max="12" width="12.140625" bestFit="1" customWidth="1"/>
    <col min="13" max="13" width="16.28515625" bestFit="1" customWidth="1"/>
  </cols>
  <sheetData>
    <row r="1" spans="1:13" x14ac:dyDescent="0.25">
      <c r="A1" t="s">
        <v>102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26</v>
      </c>
      <c r="I1" t="s">
        <v>84</v>
      </c>
      <c r="J1" s="23" t="s">
        <v>99</v>
      </c>
      <c r="K1" s="23" t="s">
        <v>100</v>
      </c>
      <c r="L1" t="s">
        <v>56</v>
      </c>
      <c r="M1" t="s">
        <v>63</v>
      </c>
    </row>
    <row r="2" spans="1:13" x14ac:dyDescent="0.25">
      <c r="A2" t="str">
        <f t="array" ref="A2">CONCATENATE(L2,I2)</f>
        <v>Seminario 242712</v>
      </c>
      <c r="B2" t="s">
        <v>75</v>
      </c>
      <c r="C2" t="s">
        <v>73</v>
      </c>
      <c r="D2">
        <v>169</v>
      </c>
      <c r="E2" t="s">
        <v>74</v>
      </c>
      <c r="F2" t="s">
        <v>2</v>
      </c>
      <c r="G2" t="s">
        <v>101</v>
      </c>
      <c r="H2">
        <v>0</v>
      </c>
      <c r="I2" s="1">
        <v>42712</v>
      </c>
      <c r="J2" s="23">
        <v>0.54166666666666596</v>
      </c>
      <c r="K2" s="23">
        <v>0.58333333333333304</v>
      </c>
      <c r="L2" t="s">
        <v>59</v>
      </c>
      <c r="M2" s="1">
        <v>42852</v>
      </c>
    </row>
    <row r="3" spans="1:13" x14ac:dyDescent="0.25">
      <c r="A3" t="str">
        <f t="array" ref="A3">CONCATENATE(L3,I3)</f>
        <v>Audio Visual42712</v>
      </c>
      <c r="B3" t="s">
        <v>76</v>
      </c>
      <c r="C3" t="s">
        <v>73</v>
      </c>
      <c r="D3">
        <v>169</v>
      </c>
      <c r="E3" t="s">
        <v>79</v>
      </c>
      <c r="F3" t="s">
        <v>4</v>
      </c>
      <c r="G3" t="s">
        <v>105</v>
      </c>
      <c r="H3">
        <v>1</v>
      </c>
      <c r="I3" s="1">
        <v>42712</v>
      </c>
      <c r="J3" s="23">
        <v>0.375</v>
      </c>
      <c r="K3" s="23">
        <v>0.45833333333333331</v>
      </c>
      <c r="L3" t="s">
        <v>61</v>
      </c>
      <c r="M3" s="1">
        <v>42853</v>
      </c>
    </row>
    <row r="4" spans="1:13" x14ac:dyDescent="0.25">
      <c r="A4" t="str">
        <f t="array" ref="A4">CONCATENATE(L4,I4)</f>
        <v>Audio Visual42713</v>
      </c>
      <c r="B4" t="s">
        <v>77</v>
      </c>
      <c r="C4" t="s">
        <v>73</v>
      </c>
      <c r="D4">
        <v>134</v>
      </c>
      <c r="E4" t="s">
        <v>78</v>
      </c>
      <c r="F4" t="s">
        <v>2</v>
      </c>
      <c r="G4" t="s">
        <v>106</v>
      </c>
      <c r="H4">
        <v>0</v>
      </c>
      <c r="I4" s="1">
        <v>42713</v>
      </c>
      <c r="J4" s="23">
        <v>0.54166666666666596</v>
      </c>
      <c r="K4" s="23">
        <v>0.58333333333333304</v>
      </c>
      <c r="L4" t="s">
        <v>61</v>
      </c>
      <c r="M4" s="1">
        <v>42854</v>
      </c>
    </row>
    <row r="5" spans="1:13" x14ac:dyDescent="0.25">
      <c r="A5" t="str">
        <f t="array" ref="A5">CONCATENATE(L5,I5)</f>
        <v>Seminario 242717</v>
      </c>
      <c r="B5" t="s">
        <v>75</v>
      </c>
      <c r="C5" t="s">
        <v>73</v>
      </c>
      <c r="D5">
        <v>169</v>
      </c>
      <c r="E5" t="s">
        <v>74</v>
      </c>
      <c r="F5" t="s">
        <v>2</v>
      </c>
      <c r="G5" t="s">
        <v>101</v>
      </c>
      <c r="H5">
        <v>0</v>
      </c>
      <c r="I5" s="1">
        <v>42717</v>
      </c>
      <c r="J5" s="23">
        <v>0.54166666666666596</v>
      </c>
      <c r="K5" s="23">
        <v>0.58333333333333304</v>
      </c>
      <c r="L5" t="s">
        <v>59</v>
      </c>
      <c r="M5" s="1">
        <v>42852</v>
      </c>
    </row>
    <row r="6" spans="1:13" x14ac:dyDescent="0.25">
      <c r="A6" t="str">
        <f t="array" ref="A6">CONCATENATE(L6,I6)</f>
        <v>Audio Visual42712</v>
      </c>
      <c r="B6" t="s">
        <v>76</v>
      </c>
      <c r="C6" t="s">
        <v>73</v>
      </c>
      <c r="D6">
        <v>169</v>
      </c>
      <c r="E6" t="s">
        <v>79</v>
      </c>
      <c r="F6" t="s">
        <v>4</v>
      </c>
      <c r="G6" t="s">
        <v>105</v>
      </c>
      <c r="H6">
        <v>1</v>
      </c>
      <c r="I6" s="1">
        <v>42712</v>
      </c>
      <c r="J6" s="23">
        <v>0.625</v>
      </c>
      <c r="K6" s="23">
        <v>0.70833333333333337</v>
      </c>
      <c r="L6" t="s">
        <v>61</v>
      </c>
      <c r="M6" s="1">
        <v>42853</v>
      </c>
    </row>
    <row r="7" spans="1:13" x14ac:dyDescent="0.25">
      <c r="A7" t="str">
        <f t="array" ref="A7">CONCATENATE(L7,I7)</f>
        <v>Audio Visual42713</v>
      </c>
      <c r="B7" t="s">
        <v>77</v>
      </c>
      <c r="C7" t="s">
        <v>73</v>
      </c>
      <c r="D7">
        <v>134</v>
      </c>
      <c r="E7" t="s">
        <v>78</v>
      </c>
      <c r="F7" t="s">
        <v>2</v>
      </c>
      <c r="G7" t="s">
        <v>106</v>
      </c>
      <c r="H7">
        <v>0</v>
      </c>
      <c r="I7" s="1">
        <v>42713</v>
      </c>
      <c r="J7" s="23">
        <v>0.58333333333333337</v>
      </c>
      <c r="K7" s="23">
        <v>0.66666666666666663</v>
      </c>
      <c r="L7" t="s">
        <v>61</v>
      </c>
      <c r="M7" s="1">
        <v>42854</v>
      </c>
    </row>
    <row r="8" spans="1:13" x14ac:dyDescent="0.25">
      <c r="A8" t="str">
        <f t="array" ref="A8">CONCATENATE(L8,I8)</f>
        <v>Seminario 242719</v>
      </c>
      <c r="B8" t="s">
        <v>75</v>
      </c>
      <c r="C8" t="s">
        <v>73</v>
      </c>
      <c r="D8">
        <v>169</v>
      </c>
      <c r="E8" t="s">
        <v>74</v>
      </c>
      <c r="F8" t="s">
        <v>2</v>
      </c>
      <c r="G8" t="s">
        <v>101</v>
      </c>
      <c r="H8">
        <v>0</v>
      </c>
      <c r="I8" s="1">
        <v>42719</v>
      </c>
      <c r="J8" s="23">
        <v>0.54166666666666596</v>
      </c>
      <c r="K8" s="23">
        <v>0.58333333333333304</v>
      </c>
      <c r="L8" t="s">
        <v>59</v>
      </c>
      <c r="M8" s="1">
        <v>42852</v>
      </c>
    </row>
    <row r="9" spans="1:13" x14ac:dyDescent="0.25">
      <c r="A9" t="str">
        <f>CONCATENATE(L9,I9)</f>
        <v>Audio Visual42712</v>
      </c>
      <c r="B9" t="s">
        <v>76</v>
      </c>
      <c r="C9" t="s">
        <v>73</v>
      </c>
      <c r="D9">
        <v>169</v>
      </c>
      <c r="F9" t="s">
        <v>1</v>
      </c>
      <c r="G9" t="s">
        <v>109</v>
      </c>
      <c r="H9">
        <v>0</v>
      </c>
      <c r="I9" s="1">
        <v>42712</v>
      </c>
      <c r="J9" s="23">
        <v>0.33333333333333331</v>
      </c>
      <c r="K9" s="23">
        <v>0.375</v>
      </c>
      <c r="L9" t="s">
        <v>61</v>
      </c>
      <c r="M9" s="1">
        <v>42717</v>
      </c>
    </row>
    <row r="10" spans="1:13" x14ac:dyDescent="0.25">
      <c r="I10" s="1"/>
      <c r="M10" s="1"/>
    </row>
    <row r="11" spans="1:13" x14ac:dyDescent="0.25">
      <c r="I11" s="1"/>
      <c r="M11" s="1"/>
    </row>
    <row r="7485" spans="2:13" x14ac:dyDescent="0.25">
      <c r="B7485" t="s">
        <v>75</v>
      </c>
      <c r="C7485" t="s">
        <v>73</v>
      </c>
      <c r="D7485">
        <v>169</v>
      </c>
      <c r="E7485" t="s">
        <v>110</v>
      </c>
      <c r="F7485" t="s">
        <v>1</v>
      </c>
      <c r="G7485" t="s">
        <v>109</v>
      </c>
      <c r="H7485">
        <v>0</v>
      </c>
      <c r="I7485" s="1">
        <v>42712</v>
      </c>
      <c r="J7485" s="23">
        <v>0.33333333333333331</v>
      </c>
      <c r="K7485" s="23">
        <v>0.375</v>
      </c>
      <c r="L7485" t="s">
        <v>61</v>
      </c>
      <c r="M7485" s="1">
        <v>42717</v>
      </c>
    </row>
  </sheetData>
  <autoFilter ref="A1:M10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4"/>
  <sheetViews>
    <sheetView workbookViewId="0">
      <selection activeCell="A2" sqref="A2:A4"/>
    </sheetView>
  </sheetViews>
  <sheetFormatPr baseColWidth="10" defaultRowHeight="15" x14ac:dyDescent="0.25"/>
  <cols>
    <col min="1" max="1" width="16.42578125" bestFit="1" customWidth="1"/>
  </cols>
  <sheetData>
    <row r="1" spans="1:4" x14ac:dyDescent="0.25">
      <c r="A1" t="s">
        <v>24</v>
      </c>
      <c r="B1" t="s">
        <v>65</v>
      </c>
      <c r="C1" t="s">
        <v>66</v>
      </c>
      <c r="D1" t="s">
        <v>103</v>
      </c>
    </row>
    <row r="2" spans="1:4" x14ac:dyDescent="0.25">
      <c r="A2" t="s">
        <v>75</v>
      </c>
      <c r="B2" t="s">
        <v>73</v>
      </c>
      <c r="C2">
        <v>169</v>
      </c>
      <c r="D2" t="s">
        <v>82</v>
      </c>
    </row>
    <row r="3" spans="1:4" x14ac:dyDescent="0.25">
      <c r="A3" t="s">
        <v>76</v>
      </c>
      <c r="B3" t="s">
        <v>73</v>
      </c>
      <c r="C3">
        <v>169</v>
      </c>
      <c r="D3" t="s">
        <v>104</v>
      </c>
    </row>
    <row r="4" spans="1:4" x14ac:dyDescent="0.25">
      <c r="A4" t="s">
        <v>77</v>
      </c>
      <c r="B4" t="s">
        <v>73</v>
      </c>
      <c r="C4">
        <v>134</v>
      </c>
      <c r="D4" t="s">
        <v>104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H23"/>
  <sheetViews>
    <sheetView workbookViewId="0">
      <selection activeCell="C8" sqref="C8"/>
    </sheetView>
  </sheetViews>
  <sheetFormatPr baseColWidth="10" defaultRowHeight="15" x14ac:dyDescent="0.25"/>
  <cols>
    <col min="1" max="1" width="25.140625" bestFit="1" customWidth="1"/>
    <col min="2" max="2" width="39.42578125" customWidth="1"/>
    <col min="3" max="3" width="24.85546875" bestFit="1" customWidth="1"/>
    <col min="6" max="6" width="30.140625" bestFit="1" customWidth="1"/>
    <col min="7" max="7" width="15.7109375" bestFit="1" customWidth="1"/>
    <col min="9" max="9" width="14.42578125" customWidth="1"/>
  </cols>
  <sheetData>
    <row r="1" spans="1:8" x14ac:dyDescent="0.25">
      <c r="A1" s="7" t="s">
        <v>72</v>
      </c>
      <c r="B1" s="16" t="s">
        <v>1</v>
      </c>
      <c r="C1" s="8" t="s">
        <v>21</v>
      </c>
      <c r="D1" s="7" t="s">
        <v>97</v>
      </c>
      <c r="E1" s="7" t="s">
        <v>98</v>
      </c>
      <c r="F1" s="15">
        <v>0.33333333333333331</v>
      </c>
      <c r="G1" s="3"/>
      <c r="H1" s="3"/>
    </row>
    <row r="2" spans="1:8" x14ac:dyDescent="0.25">
      <c r="A2" s="21" t="str">
        <f>IFERROR( VLOOKUP("US2",DataUsuarios,2,Formulas!B2),"")</f>
        <v>U2</v>
      </c>
      <c r="B2" s="18" t="b">
        <v>0</v>
      </c>
      <c r="C2" s="8" t="s">
        <v>22</v>
      </c>
      <c r="D2" s="9" t="s">
        <v>85</v>
      </c>
      <c r="E2" s="24">
        <v>0.33333333333333331</v>
      </c>
      <c r="F2" s="15">
        <v>0.375</v>
      </c>
    </row>
    <row r="3" spans="1:8" x14ac:dyDescent="0.25">
      <c r="A3" s="19" t="str">
        <f>IFERROR( VLOOKUP("US2",DataUsuarios,3,Formulas!B2),"")</f>
        <v>Admin</v>
      </c>
      <c r="B3" s="19" t="str">
        <f>IFERROR( VLOOKUP("US2",DataUsuarios,4,Formulas!B2),"")</f>
        <v>EDGAR FRANCISCO</v>
      </c>
      <c r="C3" s="8" t="s">
        <v>23</v>
      </c>
      <c r="D3" s="9" t="s">
        <v>86</v>
      </c>
      <c r="E3" s="24">
        <v>0.375</v>
      </c>
      <c r="F3" s="6" t="str">
        <f>IF(F1&lt;F2,"OK","ERROR")</f>
        <v>OK</v>
      </c>
    </row>
    <row r="4" spans="1:8" x14ac:dyDescent="0.25">
      <c r="A4" s="20" t="str">
        <f>CONCATENATE(A5,F9)</f>
        <v>Seminario 142529</v>
      </c>
      <c r="B4" s="19" t="str">
        <f>IFERROR( VLOOKUP("US2",DataUsuarios,5,Formulas!B2),"")</f>
        <v>MORENO PALOMINO</v>
      </c>
      <c r="C4" t="s">
        <v>108</v>
      </c>
      <c r="D4" s="9" t="s">
        <v>87</v>
      </c>
      <c r="E4" s="24">
        <v>0.41666666666666702</v>
      </c>
      <c r="F4" s="10">
        <v>8</v>
      </c>
      <c r="G4" s="13"/>
    </row>
    <row r="5" spans="1:8" x14ac:dyDescent="0.25">
      <c r="A5" s="16" t="s">
        <v>58</v>
      </c>
      <c r="B5" s="16">
        <f>VLOOKUP(A5,DataAulas,2,B2)</f>
        <v>33</v>
      </c>
      <c r="C5" t="s">
        <v>107</v>
      </c>
      <c r="D5" s="9" t="s">
        <v>88</v>
      </c>
      <c r="E5" s="24">
        <v>0.45833333333333331</v>
      </c>
      <c r="F5" s="11" t="s">
        <v>90</v>
      </c>
      <c r="G5" s="13"/>
    </row>
    <row r="6" spans="1:8" x14ac:dyDescent="0.25">
      <c r="A6" s="16" t="s">
        <v>75</v>
      </c>
      <c r="B6" s="3"/>
      <c r="C6" t="s">
        <v>113</v>
      </c>
      <c r="D6" s="9" t="s">
        <v>89</v>
      </c>
      <c r="E6" s="24">
        <v>0.5</v>
      </c>
      <c r="F6" s="10">
        <v>2016</v>
      </c>
      <c r="G6" s="13"/>
    </row>
    <row r="7" spans="1:8" x14ac:dyDescent="0.25">
      <c r="A7" s="16" t="str">
        <f>VLOOKUP(A6,DataSolicitantes,2,B2)</f>
        <v>CBI</v>
      </c>
      <c r="B7" s="3"/>
      <c r="C7" t="s">
        <v>114</v>
      </c>
      <c r="D7" s="9" t="s">
        <v>90</v>
      </c>
      <c r="E7" s="24">
        <v>0.54166666666666596</v>
      </c>
      <c r="F7" s="12" t="str">
        <f>CONCATENATE(F4,"/",F5,"/",F6)</f>
        <v>8/Junio/2016</v>
      </c>
      <c r="G7" s="14" t="str">
        <f>CONCATENATE(G4,"/",G5,"/",G6)</f>
        <v>//</v>
      </c>
    </row>
    <row r="8" spans="1:8" x14ac:dyDescent="0.25">
      <c r="A8" s="16">
        <f>VLOOKUP(A6,DataSolicitantes,3,B2)</f>
        <v>169</v>
      </c>
      <c r="B8" s="3"/>
      <c r="C8" t="s">
        <v>115</v>
      </c>
      <c r="D8" s="9" t="s">
        <v>91</v>
      </c>
      <c r="E8" s="24">
        <v>0.58333333333333304</v>
      </c>
      <c r="F8" s="6" t="str">
        <f>IFERROR(IF(AND(F9&lt;G9,F9&lt;&gt;"",G9&lt;&gt;""),"OK","ERROR"),"")</f>
        <v>ERROR</v>
      </c>
    </row>
    <row r="9" spans="1:8" x14ac:dyDescent="0.25">
      <c r="A9" s="3"/>
      <c r="B9" s="3"/>
      <c r="C9" t="s">
        <v>116</v>
      </c>
      <c r="D9" s="9" t="s">
        <v>92</v>
      </c>
      <c r="E9" s="24">
        <v>0.625</v>
      </c>
      <c r="F9" s="17">
        <f>IFERROR(DATEVALUE(F7),"")</f>
        <v>42529</v>
      </c>
      <c r="G9" s="17" t="str">
        <f>IFERROR(DATEVALUE(G7),"")</f>
        <v/>
      </c>
    </row>
    <row r="10" spans="1:8" x14ac:dyDescent="0.25">
      <c r="A10" s="3"/>
      <c r="B10" s="3"/>
      <c r="D10" s="9" t="s">
        <v>93</v>
      </c>
      <c r="E10" s="24">
        <v>0.66666666666666596</v>
      </c>
      <c r="F10" s="5"/>
    </row>
    <row r="11" spans="1:8" x14ac:dyDescent="0.25">
      <c r="A11" s="3"/>
      <c r="B11" s="3"/>
      <c r="D11" s="9" t="s">
        <v>94</v>
      </c>
      <c r="E11" s="24">
        <v>0.70833333333333304</v>
      </c>
      <c r="F11" s="5"/>
    </row>
    <row r="12" spans="1:8" x14ac:dyDescent="0.25">
      <c r="A12" s="3"/>
      <c r="B12" s="3"/>
      <c r="D12" s="9" t="s">
        <v>95</v>
      </c>
      <c r="E12" s="24">
        <v>0.75</v>
      </c>
      <c r="F12" s="5"/>
    </row>
    <row r="13" spans="1:8" x14ac:dyDescent="0.25">
      <c r="A13" s="3"/>
      <c r="B13" s="3"/>
      <c r="D13" s="9" t="s">
        <v>96</v>
      </c>
      <c r="E13" s="24">
        <v>0.79166666666666696</v>
      </c>
    </row>
    <row r="14" spans="1:8" x14ac:dyDescent="0.25">
      <c r="A14" s="3"/>
      <c r="B14" s="3"/>
      <c r="E14" s="24">
        <v>0.83333333333333304</v>
      </c>
    </row>
    <row r="15" spans="1:8" x14ac:dyDescent="0.25">
      <c r="A15" s="3"/>
      <c r="B15" s="3"/>
    </row>
    <row r="16" spans="1:8" x14ac:dyDescent="0.25">
      <c r="A16" s="3"/>
      <c r="B16" s="3"/>
    </row>
    <row r="17" spans="1:2" x14ac:dyDescent="0.25">
      <c r="A17" s="3"/>
      <c r="B17" s="3"/>
    </row>
    <row r="18" spans="1:2" x14ac:dyDescent="0.25">
      <c r="A18" s="3"/>
      <c r="B18" s="3"/>
    </row>
    <row r="19" spans="1:2" x14ac:dyDescent="0.25">
      <c r="A19" s="3"/>
      <c r="B19" s="3"/>
    </row>
    <row r="20" spans="1:2" x14ac:dyDescent="0.25">
      <c r="A20" s="3"/>
      <c r="B20" s="3"/>
    </row>
    <row r="21" spans="1:2" x14ac:dyDescent="0.25">
      <c r="A21" s="3"/>
      <c r="B21" s="3"/>
    </row>
    <row r="22" spans="1:2" x14ac:dyDescent="0.25">
      <c r="A22" s="3"/>
      <c r="B22" s="3"/>
    </row>
    <row r="23" spans="1:2" x14ac:dyDescent="0.25">
      <c r="A23" s="3"/>
      <c r="B23" s="3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7"/>
  <sheetViews>
    <sheetView tabSelected="1" workbookViewId="0">
      <selection activeCell="B2" sqref="B2"/>
    </sheetView>
  </sheetViews>
  <sheetFormatPr baseColWidth="10" defaultRowHeight="15" x14ac:dyDescent="0.25"/>
  <cols>
    <col min="1" max="1" width="33.140625" bestFit="1" customWidth="1"/>
    <col min="3" max="3" width="17.28515625" bestFit="1" customWidth="1"/>
    <col min="4" max="4" width="33.140625" bestFit="1" customWidth="1"/>
    <col min="5" max="5" width="11.85546875" bestFit="1" customWidth="1"/>
  </cols>
  <sheetData>
    <row r="1" spans="1:7" x14ac:dyDescent="0.25">
      <c r="B1">
        <f>COUNTIF(C:C,"ERROR")</f>
        <v>0</v>
      </c>
      <c r="C1">
        <f>Formulas!F1</f>
        <v>0.33333333333333331</v>
      </c>
      <c r="D1" s="22">
        <f>ROUND(Formulas!F2,5)</f>
        <v>0.375</v>
      </c>
      <c r="E1" t="s">
        <v>111</v>
      </c>
      <c r="F1" t="s">
        <v>112</v>
      </c>
    </row>
    <row r="2" spans="1:7" x14ac:dyDescent="0.25">
      <c r="A2" s="22" t="str">
        <f t="array" ref="A2:A10">IFERROR(ROUND(IFERROR(INDEX(DataHorasIniciales,SMALL(IF(DataDiaSala=DATAAUX, ROW()), ROW()-1)),""),5),"")</f>
        <v/>
      </c>
      <c r="B2" t="str">
        <f t="array" ref="B2:B10">IFERROR(INDEX(DataHorasFinales,SMALL(IF(DataDiaSala=DATAAUX, ROW()), ROW()-1)),"")</f>
        <v/>
      </c>
      <c r="C2" t="str">
        <f>IF(      B2&lt;&gt;"",IF(AND(OR(C$1&gt;=B2,D$1&lt;=A2),E2=1),"ok","ERROR"),"")</f>
        <v/>
      </c>
      <c r="E2" t="str">
        <f t="array" ref="E2">IFERROR(INDEX(DataSTATUS,SMALL(IF(DataDiaSala=DATAAUX, ROW()), ROW()-1)),"")</f>
        <v/>
      </c>
    </row>
    <row r="3" spans="1:7" x14ac:dyDescent="0.25">
      <c r="A3" t="str">
        <v/>
      </c>
      <c r="B3" t="str">
        <v/>
      </c>
      <c r="C3" t="str">
        <f t="shared" ref="C3:C17" si="0">IF(      B3&lt;&gt;"",IF(OR(C$1&gt;=B3,D$1&lt;=A3),"ok","ERROR"),"")</f>
        <v/>
      </c>
    </row>
    <row r="4" spans="1:7" x14ac:dyDescent="0.25">
      <c r="A4" t="str">
        <v/>
      </c>
      <c r="B4" t="str">
        <v/>
      </c>
      <c r="C4" t="str">
        <f t="shared" si="0"/>
        <v/>
      </c>
    </row>
    <row r="5" spans="1:7" x14ac:dyDescent="0.25">
      <c r="A5" t="str">
        <v/>
      </c>
      <c r="B5" t="str">
        <v/>
      </c>
      <c r="C5" t="str">
        <f t="shared" si="0"/>
        <v/>
      </c>
      <c r="D5" s="22"/>
    </row>
    <row r="6" spans="1:7" x14ac:dyDescent="0.25">
      <c r="A6" t="str">
        <v/>
      </c>
      <c r="B6" t="str">
        <v/>
      </c>
      <c r="C6" t="str">
        <f t="shared" si="0"/>
        <v/>
      </c>
    </row>
    <row r="7" spans="1:7" x14ac:dyDescent="0.25">
      <c r="A7" t="str">
        <v/>
      </c>
      <c r="B7" t="str">
        <v/>
      </c>
      <c r="C7" t="str">
        <f t="shared" si="0"/>
        <v/>
      </c>
    </row>
    <row r="8" spans="1:7" x14ac:dyDescent="0.25">
      <c r="A8" t="str">
        <v/>
      </c>
      <c r="B8" t="str">
        <v/>
      </c>
      <c r="C8" t="str">
        <f t="shared" si="0"/>
        <v/>
      </c>
    </row>
    <row r="9" spans="1:7" x14ac:dyDescent="0.25">
      <c r="A9" t="str">
        <v/>
      </c>
      <c r="B9" t="str">
        <v/>
      </c>
      <c r="C9" t="str">
        <f t="shared" si="0"/>
        <v/>
      </c>
      <c r="G9" t="str">
        <f>IFERROR(IF(OR(C1&lt;B2:B10,D1&gt;A2:A10)," ","ERROR"),"")</f>
        <v xml:space="preserve"> </v>
      </c>
    </row>
    <row r="10" spans="1:7" x14ac:dyDescent="0.25">
      <c r="A10" t="str">
        <v/>
      </c>
      <c r="B10" t="str">
        <v/>
      </c>
      <c r="C10" t="str">
        <f t="shared" si="0"/>
        <v/>
      </c>
      <c r="G10" t="str">
        <f>IF( $A$2:$A$10 &lt;&gt; "", (IF( OR(($D$1)&lt;=($A$2:$A$10),$C$1&gt;=$B$2:$B$10 ),"OK","ERROR")),"")</f>
        <v/>
      </c>
    </row>
    <row r="11" spans="1:7" x14ac:dyDescent="0.25">
      <c r="C11" t="str">
        <f t="shared" si="0"/>
        <v/>
      </c>
    </row>
    <row r="12" spans="1:7" x14ac:dyDescent="0.25">
      <c r="C12" t="str">
        <f t="shared" si="0"/>
        <v/>
      </c>
    </row>
    <row r="13" spans="1:7" x14ac:dyDescent="0.25">
      <c r="C13" t="str">
        <f t="shared" si="0"/>
        <v/>
      </c>
    </row>
    <row r="14" spans="1:7" x14ac:dyDescent="0.25">
      <c r="C14" t="str">
        <f t="shared" si="0"/>
        <v/>
      </c>
    </row>
    <row r="15" spans="1:7" x14ac:dyDescent="0.25">
      <c r="C15" t="str">
        <f t="shared" si="0"/>
        <v/>
      </c>
    </row>
    <row r="16" spans="1:7" x14ac:dyDescent="0.25">
      <c r="C16" t="str">
        <f t="shared" si="0"/>
        <v/>
      </c>
    </row>
    <row r="17" spans="3:3" x14ac:dyDescent="0.25">
      <c r="C17" t="str">
        <f t="shared" si="0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Hoja1</vt:lpstr>
      <vt:lpstr>Usuarios</vt:lpstr>
      <vt:lpstr>Aulas</vt:lpstr>
      <vt:lpstr>Reservaciones</vt:lpstr>
      <vt:lpstr>Solicitantes</vt:lpstr>
      <vt:lpstr>Formulas</vt:lpstr>
      <vt:lpstr>Consultas</vt:lpstr>
      <vt:lpstr>DataAulas</vt:lpstr>
      <vt:lpstr>DATAAUX</vt:lpstr>
      <vt:lpstr>DataDiaSala</vt:lpstr>
      <vt:lpstr>DataHorasFinales</vt:lpstr>
      <vt:lpstr>DataHorasIniciales</vt:lpstr>
      <vt:lpstr>DataReservaciones</vt:lpstr>
      <vt:lpstr>DataSolicitantes</vt:lpstr>
      <vt:lpstr>DataSTATUS</vt:lpstr>
      <vt:lpstr>DataUsuarios</vt:lpstr>
      <vt:lpstr>Ust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Moreno</dc:creator>
  <cp:lastModifiedBy>Edgar Moreno</cp:lastModifiedBy>
  <dcterms:created xsi:type="dcterms:W3CDTF">2016-12-01T20:03:59Z</dcterms:created>
  <dcterms:modified xsi:type="dcterms:W3CDTF">2016-12-13T21:24:30Z</dcterms:modified>
</cp:coreProperties>
</file>